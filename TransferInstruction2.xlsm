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75059552-1E5B-4ABB-858C-078FFC3EB042}" xr6:coauthVersionLast="47" xr6:coauthVersionMax="47" xr10:uidLastSave="{00000000-0000-0000-0000-000000000000}"/>
  <bookViews>
    <workbookView xWindow="-28920" yWindow="-120" windowWidth="29040" windowHeight="15720" xr2:uid="{A27A1DB3-5BE7-4A12-AB75-DBB2F0EC0E18}"/>
  </bookViews>
  <sheets>
    <sheet name="TestTables" sheetId="1" r:id="rId1"/>
    <sheet name="Sheet1" sheetId="3" r:id="rId2"/>
    <sheet name="Sheet2" sheetId="2" r:id="rId3"/>
    <sheet name="Perf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0" i="4" l="1"/>
  <c r="I18" i="4"/>
  <c r="K8" i="4"/>
  <c r="K5" i="4"/>
  <c r="J10" i="4"/>
  <c r="J7" i="4"/>
  <c r="J4" i="4"/>
  <c r="I9" i="4"/>
  <c r="I6" i="4"/>
  <c r="I3" i="4"/>
</calcChain>
</file>

<file path=xl/sharedStrings.xml><?xml version="1.0" encoding="utf-8"?>
<sst xmlns="http://schemas.openxmlformats.org/spreadsheetml/2006/main" count="211" uniqueCount="75">
  <si>
    <t>tblSource</t>
  </si>
  <si>
    <t>Key</t>
  </si>
  <si>
    <t>tblDestination</t>
  </si>
  <si>
    <t>boolean</t>
  </si>
  <si>
    <t>string</t>
  </si>
  <si>
    <t>empty</t>
  </si>
  <si>
    <t>error</t>
  </si>
  <si>
    <t>double (integers, doubles, decimals, currency, date and date time)</t>
  </si>
  <si>
    <t>string (incl single quote, fx equals "" fx equals " ", chr13, chr10, chr8)</t>
  </si>
  <si>
    <t>includes Empty String variables</t>
  </si>
  <si>
    <t>only Empty (uninitialised) Variants</t>
  </si>
  <si>
    <t>single quote is String of Len() = 0</t>
  </si>
  <si>
    <t>empty cleared cell is Variant/Empty of Len(CStr(v)) = 0</t>
  </si>
  <si>
    <t>="" is Variant/String of Len() = 0</t>
  </si>
  <si>
    <t>errors cast with CStr() have Len() = 1 because the string is "Error 2024"</t>
  </si>
  <si>
    <t>bool</t>
  </si>
  <si>
    <t>dbl</t>
  </si>
  <si>
    <t>source</t>
  </si>
  <si>
    <t>destination</t>
  </si>
  <si>
    <t>overwrite</t>
  </si>
  <si>
    <t>ignore</t>
  </si>
  <si>
    <t>DEFAULT MODE</t>
  </si>
  <si>
    <t>TRANSFER BLANKS</t>
  </si>
  <si>
    <t>SAME TYPE ONLY</t>
  </si>
  <si>
    <t>A-&gt;A</t>
  </si>
  <si>
    <t>list of diffs is important because we need to know how many rows and columns and cells are affected</t>
  </si>
  <si>
    <t>also to measure 0-&gt;a a-&gt;a a-&gt;b a-&gt;0</t>
  </si>
  <si>
    <t>new</t>
  </si>
  <si>
    <t>also allows us to copy paste Rich Data Types</t>
  </si>
  <si>
    <t>Skip (ignore)</t>
  </si>
  <si>
    <t>Transfer (overwrite)</t>
  </si>
  <si>
    <t>Halt on mismatch (bool/dbl/string)</t>
  </si>
  <si>
    <t>Halt on mismatch (empty/error)</t>
  </si>
  <si>
    <t>also export diffs to a new workbook table</t>
  </si>
  <si>
    <t>Random [A-Z]{3}[0-9]{3}</t>
  </si>
  <si>
    <t>=CHAR(RANDBETWEEN(65,64+26))&amp;CHAR(RANDBETWEEN(65,64+26))&amp;CHAR(RANDBETWEEN(65,64+26))&amp;TEXT(RAND()*999,"000")</t>
  </si>
  <si>
    <t>Column1</t>
  </si>
  <si>
    <t>Column2</t>
  </si>
  <si>
    <t>Column3</t>
  </si>
  <si>
    <t>Index</t>
  </si>
  <si>
    <t>Rows</t>
  </si>
  <si>
    <t>Columns</t>
  </si>
  <si>
    <t>Cells</t>
  </si>
  <si>
    <t>Screen Update</t>
  </si>
  <si>
    <t>Calculation Mode</t>
  </si>
  <si>
    <t>Duration</t>
  </si>
  <si>
    <t>Off</t>
  </si>
  <si>
    <t>On</t>
  </si>
  <si>
    <t>Manual</t>
  </si>
  <si>
    <t>Auto</t>
  </si>
  <si>
    <t>Turning off Calculation Mode</t>
  </si>
  <si>
    <t>Turning off screen updating</t>
  </si>
  <si>
    <t>faster</t>
  </si>
  <si>
    <t>increasing rows from 1k to 2k</t>
  </si>
  <si>
    <t>10 col</t>
  </si>
  <si>
    <t>1k row</t>
  </si>
  <si>
    <t>increasing cols from 10 to 20</t>
  </si>
  <si>
    <t>longer</t>
  </si>
  <si>
    <t>1000r x 20c</t>
  </si>
  <si>
    <t>1000r x 1c</t>
  </si>
  <si>
    <t>TTT v1.0 1000r x 20c</t>
  </si>
  <si>
    <t>sec</t>
  </si>
  <si>
    <t>x faster</t>
  </si>
  <si>
    <t>WMX605</t>
  </si>
  <si>
    <t>HWN765</t>
  </si>
  <si>
    <t>UPU562</t>
  </si>
  <si>
    <t>HPO153</t>
  </si>
  <si>
    <t>DSO454</t>
  </si>
  <si>
    <t>DWV846</t>
  </si>
  <si>
    <t>CQR242</t>
  </si>
  <si>
    <t>VRM587</t>
  </si>
  <si>
    <t>QMS681</t>
  </si>
  <si>
    <t>RUM465</t>
  </si>
  <si>
    <t>ECX816</t>
  </si>
  <si>
    <t>CEI221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</si>
</sst>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5" borderId="0" applyNumberFormat="0" applyBorder="0" applyAlignment="0" applyProtection="0"/>
  </cellStyleXfs>
  <cellXfs count="13">
    <xf numFmtId="0" fontId="0" fillId="0" borderId="0" xfId="0"/>
    <xf numFmtId="0" fontId="2" fillId="0" borderId="1" xfId="1"/>
    <xf numFmtId="0" fontId="0" fillId="0" borderId="0" xfId="0" quotePrefix="1"/>
    <xf numFmtId="0" fontId="6" fillId="0" borderId="0" xfId="0" applyFont="1"/>
    <xf numFmtId="0" fontId="5" fillId="4" borderId="0" xfId="4"/>
    <xf numFmtId="0" fontId="3" fillId="2" borderId="0" xfId="2"/>
    <xf numFmtId="0" fontId="4" fillId="3" borderId="0" xfId="3"/>
    <xf numFmtId="0" fontId="0" fillId="5" borderId="0" xfId="5" applyFont="1"/>
    <xf numFmtId="164" fontId="0" fillId="0" borderId="0" xfId="0" applyNumberFormat="1"/>
    <xf numFmtId="164" fontId="0" fillId="6" borderId="2" xfId="0" applyNumberFormat="1" applyFont="1" applyFill="1" applyBorder="1"/>
    <xf numFmtId="9" fontId="0" fillId="0" borderId="0" xfId="0" applyNumberFormat="1"/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/>
    </xf>
  </cellXfs>
  <cellStyles count="6">
    <cellStyle name="60% - Accent5" xfId="5" builtinId="48"/>
    <cellStyle name="Bad" xfId="3" builtinId="27"/>
    <cellStyle name="Good" xfId="2" builtinId="26"/>
    <cellStyle name="Heading 3" xfId="1" builtinId="18"/>
    <cellStyle name="Neutral" xfId="4" builtinId="28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AC090-567C-45F6-A796-34335553830C}" name="tblSource" displayName="tblSource" ref="A2:D14" totalsRowShown="0">
  <autoFilter ref="A2:D14" xr:uid="{5E0AC090-567C-45F6-A796-34335553830C}"/>
  <sortState xmlns:xlrd2="http://schemas.microsoft.com/office/spreadsheetml/2017/richdata2" ref="A3:D14">
    <sortCondition ref="A2:A14"/>
  </sortState>
  <tableColumns count="4">
    <tableColumn id="1" xr3:uid="{FDE31D8A-1A76-4A73-A238-8E12D7551F2D}" name="Key" dataDxfId="3"/>
    <tableColumn id="13" xr3:uid="{402D4822-EAA1-4A23-8EC1-BFEABE219CD2}" name="Column1" dataDxfId="2"/>
    <tableColumn id="14" xr3:uid="{17FEAF65-645F-456D-83DD-E30BB7A4D44B}" name="Column2" dataDxfId="1"/>
    <tableColumn id="15" xr3:uid="{9A44F355-2A2B-4BD8-84E5-41BC0EE91472}" name="Column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7F50AF-2EFD-4CBC-9C07-B75EB6C9D6EE}" name="tblDestination" displayName="tblDestination" ref="F2:I14" totalsRowShown="0">
  <autoFilter ref="F2:I14" xr:uid="{8B7F50AF-2EFD-4CBC-9C07-B75EB6C9D6EE}"/>
  <sortState xmlns:xlrd2="http://schemas.microsoft.com/office/spreadsheetml/2017/richdata2" ref="F3:I14">
    <sortCondition ref="F2:F14"/>
  </sortState>
  <tableColumns count="4">
    <tableColumn id="1" xr3:uid="{62F0203B-A1CC-482B-9A52-AD7AC22A0B68}" name="Key"/>
    <tableColumn id="12" xr3:uid="{6BA8F33B-4AA0-417E-A123-C3866E39987B}" name="Column1"/>
    <tableColumn id="13" xr3:uid="{0091187D-53E4-4EC4-9D52-3ECCDCD1022E}" name="Column2"/>
    <tableColumn id="14" xr3:uid="{1C6D8A65-19C0-4724-8DFB-49D87BAFA8F7}" name="Column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D86398-6808-4D60-849A-39E535528F6B}" name="Table3" displayName="Table3" ref="A1:G10" totalsRowShown="0">
  <autoFilter ref="A1:G10" xr:uid="{64D86398-6808-4D60-849A-39E535528F6B}"/>
  <tableColumns count="7">
    <tableColumn id="1" xr3:uid="{EF168AA6-278A-4B42-8594-F63EAF578396}" name="Index"/>
    <tableColumn id="2" xr3:uid="{EB37F1FB-0ACF-458F-B641-901FEA02DAA5}" name="Rows"/>
    <tableColumn id="3" xr3:uid="{6F411D62-1ABA-47FB-8BDE-93C79550A5B4}" name="Columns"/>
    <tableColumn id="4" xr3:uid="{A8E0813D-6AD5-479C-B21F-608178D7A44E}" name="Cells"/>
    <tableColumn id="5" xr3:uid="{D8A4ACD0-C7A7-494E-8397-41A599B79979}" name="Screen Update"/>
    <tableColumn id="6" xr3:uid="{461E39AC-05AA-499E-875D-F700D308791B}" name="Calculation Mode"/>
    <tableColumn id="7" xr3:uid="{970F4F6E-BB5E-4BEB-BC83-D08947353344}" name="Dura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87C12-F1DC-4E54-8406-73AC6F460FE2}">
  <sheetPr codeName="TestTables"/>
  <dimension ref="A1:AQ14"/>
  <sheetViews>
    <sheetView tabSelected="1" zoomScale="70" zoomScaleNormal="70" workbookViewId="0">
      <selection activeCell="A6" sqref="A6"/>
    </sheetView>
  </sheetViews>
  <sheetFormatPr defaultRowHeight="15" customHeight="1" x14ac:dyDescent="0.25"/>
  <cols>
    <col min="1" max="4" width="13.7109375" customWidth="1"/>
    <col min="6" max="9" width="13.7109375" customWidth="1"/>
  </cols>
  <sheetData>
    <row r="1" spans="1:9" ht="15" customHeight="1" thickBot="1" x14ac:dyDescent="0.3">
      <c r="A1" s="1" t="s">
        <v>0</v>
      </c>
      <c r="B1" s="1"/>
      <c r="C1" s="1"/>
      <c r="D1" s="1"/>
      <c r="F1" s="1" t="s">
        <v>2</v>
      </c>
      <c r="G1" s="1"/>
      <c r="H1" s="1"/>
      <c r="I1" s="1"/>
    </row>
    <row r="2" spans="1:9" ht="15" customHeight="1" x14ac:dyDescent="0.25">
      <c r="A2" t="s">
        <v>1</v>
      </c>
      <c r="B2" t="s">
        <v>36</v>
      </c>
      <c r="C2" t="s">
        <v>37</v>
      </c>
      <c r="D2" t="s">
        <v>38</v>
      </c>
      <c r="F2" t="s">
        <v>1</v>
      </c>
      <c r="G2" t="s">
        <v>36</v>
      </c>
      <c r="H2" t="s">
        <v>37</v>
      </c>
      <c r="I2" t="s">
        <v>38</v>
      </c>
    </row>
    <row r="3" spans="1:9" ht="15" customHeight="1" x14ac:dyDescent="0.25">
      <c r="A3" s="2" t="s">
        <v>74</v>
      </c>
      <c r="B3">
        <v>1</v>
      </c>
      <c r="C3">
        <v>1</v>
      </c>
      <c r="D3">
        <v>1</v>
      </c>
      <c r="F3" s="2" t="s">
        <v>74</v>
      </c>
      <c r="G3">
        <v>1</v>
      </c>
      <c r="H3">
        <v>1</v>
      </c>
      <c r="I3">
        <v>1</v>
      </c>
    </row>
    <row r="4" spans="1:9" ht="15" customHeight="1" x14ac:dyDescent="0.25">
      <c r="A4" s="2" t="s">
        <v>69</v>
      </c>
      <c r="B4">
        <v>2</v>
      </c>
      <c r="C4">
        <v>2</v>
      </c>
      <c r="D4">
        <v>2</v>
      </c>
      <c r="F4" s="2" t="s">
        <v>69</v>
      </c>
      <c r="G4">
        <v>2</v>
      </c>
      <c r="H4">
        <v>2</v>
      </c>
      <c r="I4">
        <v>2</v>
      </c>
    </row>
    <row r="5" spans="1:9" ht="15" customHeight="1" x14ac:dyDescent="0.25">
      <c r="A5" s="2" t="s">
        <v>67</v>
      </c>
      <c r="B5">
        <v>3</v>
      </c>
      <c r="C5">
        <v>3</v>
      </c>
      <c r="D5">
        <v>3</v>
      </c>
      <c r="F5" s="2" t="s">
        <v>67</v>
      </c>
      <c r="G5">
        <v>3</v>
      </c>
      <c r="H5">
        <v>3</v>
      </c>
      <c r="I5">
        <v>3</v>
      </c>
    </row>
    <row r="6" spans="1:9" ht="15" customHeight="1" x14ac:dyDescent="0.25">
      <c r="A6" s="2" t="s">
        <v>68</v>
      </c>
      <c r="B6">
        <v>4</v>
      </c>
      <c r="C6">
        <v>4</v>
      </c>
      <c r="D6">
        <v>4</v>
      </c>
      <c r="F6" s="2" t="s">
        <v>68</v>
      </c>
      <c r="G6">
        <v>4</v>
      </c>
      <c r="H6">
        <v>4</v>
      </c>
      <c r="I6">
        <v>4</v>
      </c>
    </row>
    <row r="7" spans="1:9" ht="15" customHeight="1" x14ac:dyDescent="0.25">
      <c r="A7" s="2" t="s">
        <v>73</v>
      </c>
      <c r="B7">
        <v>5</v>
      </c>
      <c r="C7">
        <v>5</v>
      </c>
      <c r="D7">
        <v>5</v>
      </c>
      <c r="F7" s="2" t="s">
        <v>73</v>
      </c>
      <c r="G7">
        <v>5</v>
      </c>
      <c r="H7">
        <v>5</v>
      </c>
      <c r="I7">
        <v>5</v>
      </c>
    </row>
    <row r="8" spans="1:9" ht="15" customHeight="1" x14ac:dyDescent="0.25">
      <c r="A8" s="2" t="s">
        <v>66</v>
      </c>
      <c r="B8">
        <v>6</v>
      </c>
      <c r="C8">
        <v>6</v>
      </c>
      <c r="D8">
        <v>6</v>
      </c>
      <c r="F8" s="2" t="s">
        <v>66</v>
      </c>
      <c r="G8">
        <v>6</v>
      </c>
      <c r="H8">
        <v>6</v>
      </c>
      <c r="I8">
        <v>6</v>
      </c>
    </row>
    <row r="9" spans="1:9" ht="15" customHeight="1" x14ac:dyDescent="0.25">
      <c r="A9" s="2" t="s">
        <v>64</v>
      </c>
      <c r="B9">
        <v>7</v>
      </c>
      <c r="C9">
        <v>7</v>
      </c>
      <c r="D9">
        <v>7</v>
      </c>
      <c r="F9" s="2" t="s">
        <v>64</v>
      </c>
      <c r="G9">
        <v>7</v>
      </c>
      <c r="H9">
        <v>7</v>
      </c>
      <c r="I9">
        <v>7</v>
      </c>
    </row>
    <row r="10" spans="1:9" ht="15" customHeight="1" x14ac:dyDescent="0.25">
      <c r="A10" s="2" t="s">
        <v>71</v>
      </c>
      <c r="B10">
        <v>8</v>
      </c>
      <c r="C10">
        <v>8</v>
      </c>
      <c r="D10">
        <v>8</v>
      </c>
      <c r="F10" s="2" t="s">
        <v>71</v>
      </c>
      <c r="G10">
        <v>8</v>
      </c>
      <c r="H10">
        <v>8</v>
      </c>
      <c r="I10">
        <v>8</v>
      </c>
    </row>
    <row r="11" spans="1:9" ht="15" customHeight="1" x14ac:dyDescent="0.25">
      <c r="A11" s="2" t="s">
        <v>72</v>
      </c>
      <c r="B11">
        <v>9</v>
      </c>
      <c r="C11">
        <v>9</v>
      </c>
      <c r="D11">
        <v>9</v>
      </c>
      <c r="F11" s="2" t="s">
        <v>72</v>
      </c>
      <c r="G11">
        <v>9</v>
      </c>
      <c r="H11">
        <v>9</v>
      </c>
      <c r="I11">
        <v>9</v>
      </c>
    </row>
    <row r="12" spans="1:9" ht="15" customHeight="1" x14ac:dyDescent="0.25">
      <c r="A12" s="2" t="s">
        <v>65</v>
      </c>
      <c r="B12">
        <v>10</v>
      </c>
      <c r="C12">
        <v>10</v>
      </c>
      <c r="D12">
        <v>10</v>
      </c>
      <c r="F12" s="2" t="s">
        <v>65</v>
      </c>
      <c r="G12">
        <v>10</v>
      </c>
      <c r="H12">
        <v>10</v>
      </c>
      <c r="I12">
        <v>10</v>
      </c>
    </row>
    <row r="13" spans="1:9" ht="15" customHeight="1" x14ac:dyDescent="0.25">
      <c r="A13" s="2" t="s">
        <v>70</v>
      </c>
      <c r="B13">
        <v>11</v>
      </c>
      <c r="C13">
        <v>11</v>
      </c>
      <c r="D13">
        <v>11</v>
      </c>
      <c r="F13" s="2" t="s">
        <v>70</v>
      </c>
      <c r="G13">
        <v>11</v>
      </c>
      <c r="H13">
        <v>11</v>
      </c>
      <c r="I13">
        <v>11</v>
      </c>
    </row>
    <row r="14" spans="1:9" ht="15" customHeight="1" x14ac:dyDescent="0.25">
      <c r="A14" s="2" t="s">
        <v>63</v>
      </c>
      <c r="B14">
        <v>12</v>
      </c>
      <c r="C14">
        <v>12</v>
      </c>
      <c r="D14">
        <v>12</v>
      </c>
      <c r="F14" s="2" t="s">
        <v>63</v>
      </c>
      <c r="G14">
        <v>12</v>
      </c>
      <c r="H14">
        <v>12</v>
      </c>
      <c r="I14">
        <v>12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ED8A-45B5-4B74-A756-CF08A744CE7E}">
  <sheetPr codeName="Sheet1"/>
  <dimension ref="A1:L11"/>
  <sheetViews>
    <sheetView workbookViewId="0">
      <selection activeCell="L2" sqref="L2"/>
    </sheetView>
  </sheetViews>
  <sheetFormatPr defaultRowHeight="15" x14ac:dyDescent="0.25"/>
  <sheetData>
    <row r="1" spans="1:12" x14ac:dyDescent="0.25">
      <c r="A1" t="s">
        <v>3</v>
      </c>
      <c r="B1">
        <v>11</v>
      </c>
      <c r="L1" s="3" t="s">
        <v>34</v>
      </c>
    </row>
    <row r="2" spans="1:12" x14ac:dyDescent="0.25">
      <c r="A2" t="s">
        <v>7</v>
      </c>
      <c r="B2">
        <v>5</v>
      </c>
      <c r="L2" s="2" t="s">
        <v>35</v>
      </c>
    </row>
    <row r="3" spans="1:12" x14ac:dyDescent="0.25">
      <c r="A3" t="s">
        <v>8</v>
      </c>
      <c r="B3">
        <v>8</v>
      </c>
      <c r="C3" t="s">
        <v>9</v>
      </c>
    </row>
    <row r="4" spans="1:12" x14ac:dyDescent="0.25">
      <c r="A4" t="s">
        <v>5</v>
      </c>
      <c r="B4">
        <v>0</v>
      </c>
      <c r="C4" t="s">
        <v>10</v>
      </c>
    </row>
    <row r="5" spans="1:12" x14ac:dyDescent="0.25">
      <c r="A5" t="s">
        <v>6</v>
      </c>
      <c r="B5">
        <v>10</v>
      </c>
    </row>
    <row r="7" spans="1:12" x14ac:dyDescent="0.25">
      <c r="C7" t="s">
        <v>11</v>
      </c>
    </row>
    <row r="8" spans="1:12" x14ac:dyDescent="0.25">
      <c r="C8" s="2" t="s">
        <v>13</v>
      </c>
    </row>
    <row r="9" spans="1:12" x14ac:dyDescent="0.25">
      <c r="C9" t="s">
        <v>12</v>
      </c>
    </row>
    <row r="11" spans="1:12" x14ac:dyDescent="0.25">
      <c r="C11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A5545-3D56-4920-8B54-36BF3A5C17E1}">
  <sheetPr codeName="Sheet2"/>
  <dimension ref="A1:I26"/>
  <sheetViews>
    <sheetView workbookViewId="0">
      <selection activeCell="I1" sqref="I1"/>
    </sheetView>
  </sheetViews>
  <sheetFormatPr defaultRowHeight="15" x14ac:dyDescent="0.25"/>
  <cols>
    <col min="1" max="1" width="2.85546875" customWidth="1"/>
  </cols>
  <sheetData>
    <row r="1" spans="1:9" x14ac:dyDescent="0.25">
      <c r="B1" s="3" t="s">
        <v>21</v>
      </c>
      <c r="I1" t="s">
        <v>25</v>
      </c>
    </row>
    <row r="2" spans="1:9" x14ac:dyDescent="0.25">
      <c r="C2" s="12" t="s">
        <v>18</v>
      </c>
      <c r="D2" s="12"/>
      <c r="E2" s="12"/>
      <c r="F2" s="12"/>
      <c r="G2" s="12"/>
      <c r="I2" t="s">
        <v>26</v>
      </c>
    </row>
    <row r="3" spans="1:9" x14ac:dyDescent="0.25">
      <c r="C3" t="s">
        <v>15</v>
      </c>
      <c r="D3" t="s">
        <v>16</v>
      </c>
      <c r="E3" t="s">
        <v>4</v>
      </c>
      <c r="F3" t="s">
        <v>5</v>
      </c>
      <c r="G3" t="s">
        <v>6</v>
      </c>
      <c r="I3" t="s">
        <v>28</v>
      </c>
    </row>
    <row r="4" spans="1:9" x14ac:dyDescent="0.25">
      <c r="A4" s="11" t="s">
        <v>17</v>
      </c>
      <c r="B4" t="s">
        <v>15</v>
      </c>
      <c r="C4" s="5" t="s">
        <v>19</v>
      </c>
      <c r="D4" s="5" t="s">
        <v>19</v>
      </c>
      <c r="E4" s="5" t="s">
        <v>19</v>
      </c>
      <c r="F4" s="7" t="s">
        <v>27</v>
      </c>
      <c r="G4" s="5" t="s">
        <v>19</v>
      </c>
      <c r="I4" s="5" t="s">
        <v>33</v>
      </c>
    </row>
    <row r="5" spans="1:9" x14ac:dyDescent="0.25">
      <c r="A5" s="11"/>
      <c r="B5" t="s">
        <v>16</v>
      </c>
      <c r="C5" s="5" t="s">
        <v>19</v>
      </c>
      <c r="D5" s="5" t="s">
        <v>19</v>
      </c>
      <c r="E5" s="5" t="s">
        <v>19</v>
      </c>
      <c r="F5" s="7" t="s">
        <v>27</v>
      </c>
      <c r="G5" s="5" t="s">
        <v>19</v>
      </c>
    </row>
    <row r="6" spans="1:9" x14ac:dyDescent="0.25">
      <c r="A6" s="11"/>
      <c r="B6" t="s">
        <v>4</v>
      </c>
      <c r="C6" s="5" t="s">
        <v>19</v>
      </c>
      <c r="D6" s="5" t="s">
        <v>19</v>
      </c>
      <c r="E6" s="5" t="s">
        <v>19</v>
      </c>
      <c r="F6" s="7" t="s">
        <v>27</v>
      </c>
      <c r="G6" s="5" t="s">
        <v>19</v>
      </c>
    </row>
    <row r="7" spans="1:9" x14ac:dyDescent="0.25">
      <c r="A7" s="11"/>
      <c r="B7" t="s">
        <v>5</v>
      </c>
      <c r="C7" s="6" t="s">
        <v>20</v>
      </c>
      <c r="D7" s="6" t="s">
        <v>20</v>
      </c>
      <c r="E7" s="6" t="s">
        <v>20</v>
      </c>
      <c r="F7" s="6" t="s">
        <v>20</v>
      </c>
      <c r="G7" s="6" t="s">
        <v>20</v>
      </c>
    </row>
    <row r="8" spans="1:9" x14ac:dyDescent="0.25">
      <c r="A8" s="11"/>
      <c r="B8" t="s">
        <v>6</v>
      </c>
      <c r="C8" s="6" t="s">
        <v>20</v>
      </c>
      <c r="D8" s="6" t="s">
        <v>20</v>
      </c>
      <c r="E8" s="6" t="s">
        <v>20</v>
      </c>
      <c r="F8" s="6" t="s">
        <v>20</v>
      </c>
      <c r="G8" s="6" t="s">
        <v>20</v>
      </c>
    </row>
    <row r="10" spans="1:9" x14ac:dyDescent="0.25">
      <c r="B10" s="3" t="s">
        <v>22</v>
      </c>
    </row>
    <row r="11" spans="1:9" x14ac:dyDescent="0.25">
      <c r="C11" s="12" t="s">
        <v>18</v>
      </c>
      <c r="D11" s="12"/>
      <c r="E11" s="12"/>
      <c r="F11" s="12"/>
      <c r="G11" s="12"/>
    </row>
    <row r="12" spans="1:9" x14ac:dyDescent="0.25">
      <c r="C12" t="s">
        <v>15</v>
      </c>
      <c r="D12" t="s">
        <v>16</v>
      </c>
      <c r="E12" t="s">
        <v>4</v>
      </c>
      <c r="F12" t="s">
        <v>5</v>
      </c>
      <c r="G12" t="s">
        <v>6</v>
      </c>
    </row>
    <row r="13" spans="1:9" x14ac:dyDescent="0.25">
      <c r="A13" s="11" t="s">
        <v>17</v>
      </c>
      <c r="B13" t="s">
        <v>15</v>
      </c>
      <c r="C13" t="s">
        <v>19</v>
      </c>
      <c r="D13" t="s">
        <v>19</v>
      </c>
      <c r="E13" t="s">
        <v>19</v>
      </c>
      <c r="F13" t="s">
        <v>19</v>
      </c>
      <c r="G13" t="s">
        <v>19</v>
      </c>
    </row>
    <row r="14" spans="1:9" x14ac:dyDescent="0.25">
      <c r="A14" s="11"/>
      <c r="B14" t="s">
        <v>16</v>
      </c>
      <c r="C14" t="s">
        <v>19</v>
      </c>
      <c r="D14" t="s">
        <v>19</v>
      </c>
      <c r="E14" t="s">
        <v>19</v>
      </c>
      <c r="F14" t="s">
        <v>19</v>
      </c>
      <c r="G14" t="s">
        <v>19</v>
      </c>
    </row>
    <row r="15" spans="1:9" x14ac:dyDescent="0.25">
      <c r="A15" s="11"/>
      <c r="B15" t="s">
        <v>4</v>
      </c>
      <c r="C15" t="s">
        <v>19</v>
      </c>
      <c r="D15" t="s">
        <v>19</v>
      </c>
      <c r="E15" t="s">
        <v>19</v>
      </c>
      <c r="F15" t="s">
        <v>19</v>
      </c>
      <c r="G15" t="s">
        <v>19</v>
      </c>
    </row>
    <row r="16" spans="1:9" x14ac:dyDescent="0.25">
      <c r="A16" s="11"/>
      <c r="B16" t="s">
        <v>5</v>
      </c>
      <c r="C16" s="4" t="s">
        <v>19</v>
      </c>
      <c r="D16" s="4" t="s">
        <v>19</v>
      </c>
      <c r="E16" s="4" t="s">
        <v>19</v>
      </c>
      <c r="F16" s="4" t="s">
        <v>19</v>
      </c>
      <c r="G16" s="4" t="s">
        <v>19</v>
      </c>
    </row>
    <row r="17" spans="1:9" x14ac:dyDescent="0.25">
      <c r="A17" s="11"/>
      <c r="B17" t="s">
        <v>6</v>
      </c>
      <c r="C17" t="s">
        <v>20</v>
      </c>
      <c r="D17" t="s">
        <v>20</v>
      </c>
      <c r="E17" t="s">
        <v>20</v>
      </c>
      <c r="F17" t="s">
        <v>20</v>
      </c>
      <c r="G17" t="s">
        <v>20</v>
      </c>
    </row>
    <row r="19" spans="1:9" x14ac:dyDescent="0.25">
      <c r="B19" s="3" t="s">
        <v>23</v>
      </c>
    </row>
    <row r="20" spans="1:9" x14ac:dyDescent="0.25">
      <c r="C20" s="12" t="s">
        <v>18</v>
      </c>
      <c r="D20" s="12"/>
      <c r="E20" s="12"/>
      <c r="F20" s="12"/>
      <c r="G20" s="12"/>
    </row>
    <row r="21" spans="1:9" x14ac:dyDescent="0.25">
      <c r="C21" t="s">
        <v>15</v>
      </c>
      <c r="D21" t="s">
        <v>16</v>
      </c>
      <c r="E21" t="s">
        <v>4</v>
      </c>
      <c r="F21" t="s">
        <v>5</v>
      </c>
      <c r="G21" t="s">
        <v>6</v>
      </c>
      <c r="I21" t="s">
        <v>30</v>
      </c>
    </row>
    <row r="22" spans="1:9" x14ac:dyDescent="0.25">
      <c r="A22" s="11" t="s">
        <v>17</v>
      </c>
      <c r="B22" t="s">
        <v>15</v>
      </c>
      <c r="C22" s="4" t="s">
        <v>19</v>
      </c>
      <c r="D22" t="s">
        <v>20</v>
      </c>
      <c r="E22" t="s">
        <v>20</v>
      </c>
      <c r="F22" t="s">
        <v>20</v>
      </c>
      <c r="G22" t="s">
        <v>20</v>
      </c>
      <c r="I22" t="s">
        <v>29</v>
      </c>
    </row>
    <row r="23" spans="1:9" x14ac:dyDescent="0.25">
      <c r="A23" s="11"/>
      <c r="B23" t="s">
        <v>16</v>
      </c>
      <c r="C23" t="s">
        <v>20</v>
      </c>
      <c r="D23" s="4" t="s">
        <v>19</v>
      </c>
      <c r="E23" t="s">
        <v>20</v>
      </c>
      <c r="F23" t="s">
        <v>20</v>
      </c>
      <c r="G23" t="s">
        <v>20</v>
      </c>
      <c r="I23" t="s">
        <v>31</v>
      </c>
    </row>
    <row r="24" spans="1:9" x14ac:dyDescent="0.25">
      <c r="A24" s="11"/>
      <c r="B24" t="s">
        <v>4</v>
      </c>
      <c r="C24" t="s">
        <v>20</v>
      </c>
      <c r="D24" t="s">
        <v>20</v>
      </c>
      <c r="E24" s="4" t="s">
        <v>19</v>
      </c>
      <c r="F24" t="s">
        <v>20</v>
      </c>
      <c r="G24" t="s">
        <v>20</v>
      </c>
      <c r="I24" t="s">
        <v>32</v>
      </c>
    </row>
    <row r="25" spans="1:9" x14ac:dyDescent="0.25">
      <c r="A25" s="11"/>
      <c r="B25" t="s">
        <v>5</v>
      </c>
      <c r="C25" t="s">
        <v>20</v>
      </c>
      <c r="D25" t="s">
        <v>20</v>
      </c>
      <c r="E25" t="s">
        <v>20</v>
      </c>
      <c r="F25" s="4" t="s">
        <v>24</v>
      </c>
      <c r="G25" t="s">
        <v>20</v>
      </c>
    </row>
    <row r="26" spans="1:9" x14ac:dyDescent="0.25">
      <c r="A26" s="11"/>
      <c r="B26" t="s">
        <v>6</v>
      </c>
      <c r="C26" t="s">
        <v>20</v>
      </c>
      <c r="D26" t="s">
        <v>20</v>
      </c>
      <c r="E26" t="s">
        <v>20</v>
      </c>
      <c r="F26" t="s">
        <v>20</v>
      </c>
      <c r="G26" s="4" t="s">
        <v>24</v>
      </c>
    </row>
  </sheetData>
  <mergeCells count="6">
    <mergeCell ref="A22:A26"/>
    <mergeCell ref="A4:A8"/>
    <mergeCell ref="C2:G2"/>
    <mergeCell ref="C11:G11"/>
    <mergeCell ref="A13:A17"/>
    <mergeCell ref="C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558F-2374-4548-88F9-0B571D580063}">
  <sheetPr codeName="Sheet3"/>
  <dimension ref="A1:M20"/>
  <sheetViews>
    <sheetView workbookViewId="0">
      <selection activeCell="J20" sqref="J20"/>
    </sheetView>
  </sheetViews>
  <sheetFormatPr defaultRowHeight="15" x14ac:dyDescent="0.25"/>
  <cols>
    <col min="3" max="3" width="10.85546875" customWidth="1"/>
    <col min="5" max="5" width="16.140625" customWidth="1"/>
    <col min="6" max="6" width="18.7109375" customWidth="1"/>
    <col min="7" max="7" width="10.85546875" customWidth="1"/>
  </cols>
  <sheetData>
    <row r="1" spans="1:13" x14ac:dyDescent="0.2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</row>
    <row r="2" spans="1:13" x14ac:dyDescent="0.25">
      <c r="A2">
        <v>1</v>
      </c>
      <c r="B2">
        <v>1000</v>
      </c>
      <c r="C2">
        <v>10</v>
      </c>
      <c r="D2">
        <v>10000</v>
      </c>
      <c r="E2" t="s">
        <v>46</v>
      </c>
      <c r="F2" t="s">
        <v>48</v>
      </c>
      <c r="G2" s="8">
        <v>0.1298</v>
      </c>
    </row>
    <row r="3" spans="1:13" x14ac:dyDescent="0.25">
      <c r="A3">
        <v>2</v>
      </c>
      <c r="B3">
        <v>1000</v>
      </c>
      <c r="C3">
        <v>10</v>
      </c>
      <c r="D3">
        <v>10000</v>
      </c>
      <c r="E3" t="s">
        <v>46</v>
      </c>
      <c r="F3" t="s">
        <v>49</v>
      </c>
      <c r="G3" s="8">
        <v>0.13255</v>
      </c>
      <c r="I3">
        <f>(G3/G2)-1</f>
        <v>2.1186440677966045E-2</v>
      </c>
    </row>
    <row r="4" spans="1:13" x14ac:dyDescent="0.25">
      <c r="A4">
        <v>3</v>
      </c>
      <c r="B4">
        <v>1000</v>
      </c>
      <c r="C4">
        <v>10</v>
      </c>
      <c r="D4">
        <v>10000</v>
      </c>
      <c r="E4" t="s">
        <v>47</v>
      </c>
      <c r="F4" t="s">
        <v>49</v>
      </c>
      <c r="G4" s="9">
        <v>0.1865</v>
      </c>
      <c r="J4">
        <f>(G4/G2)-1</f>
        <v>0.43682588597842842</v>
      </c>
    </row>
    <row r="5" spans="1:13" x14ac:dyDescent="0.25">
      <c r="A5">
        <v>4</v>
      </c>
      <c r="B5">
        <v>2000</v>
      </c>
      <c r="C5">
        <v>10</v>
      </c>
      <c r="D5">
        <v>20000</v>
      </c>
      <c r="E5" t="s">
        <v>46</v>
      </c>
      <c r="F5" t="s">
        <v>48</v>
      </c>
      <c r="G5" s="8">
        <v>0.18940000000000001</v>
      </c>
      <c r="K5">
        <f>(G5/$G$2)-1</f>
        <v>0.45916795069337457</v>
      </c>
    </row>
    <row r="6" spans="1:13" x14ac:dyDescent="0.25">
      <c r="A6">
        <v>5</v>
      </c>
      <c r="B6">
        <v>2000</v>
      </c>
      <c r="C6">
        <v>10</v>
      </c>
      <c r="D6">
        <v>20000</v>
      </c>
      <c r="E6" t="s">
        <v>46</v>
      </c>
      <c r="F6" t="s">
        <v>49</v>
      </c>
      <c r="G6" s="8">
        <v>0.18909999999999999</v>
      </c>
      <c r="I6">
        <f>(G6/G5)-1</f>
        <v>-1.5839493136220462E-3</v>
      </c>
    </row>
    <row r="7" spans="1:13" x14ac:dyDescent="0.25">
      <c r="A7">
        <v>6</v>
      </c>
      <c r="B7">
        <v>2000</v>
      </c>
      <c r="C7">
        <v>10</v>
      </c>
      <c r="D7">
        <v>20000</v>
      </c>
      <c r="E7" t="s">
        <v>47</v>
      </c>
      <c r="F7" t="s">
        <v>49</v>
      </c>
      <c r="G7" s="8">
        <v>0.22181999999999999</v>
      </c>
      <c r="J7">
        <f>(G7/G5)-1</f>
        <v>0.17117212249208014</v>
      </c>
    </row>
    <row r="8" spans="1:13" x14ac:dyDescent="0.25">
      <c r="A8">
        <v>7</v>
      </c>
      <c r="B8">
        <v>2000</v>
      </c>
      <c r="C8">
        <v>20</v>
      </c>
      <c r="D8">
        <v>20000</v>
      </c>
      <c r="E8" t="s">
        <v>46</v>
      </c>
      <c r="F8" t="s">
        <v>48</v>
      </c>
      <c r="G8" s="8">
        <v>0.49356666700000001</v>
      </c>
      <c r="K8">
        <f>(G8/$G$5)-1</f>
        <v>1.6059486114044348</v>
      </c>
    </row>
    <row r="9" spans="1:13" x14ac:dyDescent="0.25">
      <c r="A9">
        <v>8</v>
      </c>
      <c r="B9">
        <v>2000</v>
      </c>
      <c r="C9">
        <v>20</v>
      </c>
      <c r="D9">
        <v>20000</v>
      </c>
      <c r="E9" t="s">
        <v>46</v>
      </c>
      <c r="F9" t="s">
        <v>49</v>
      </c>
      <c r="G9" s="8">
        <v>0.50013333299999996</v>
      </c>
      <c r="I9">
        <f>(G9/G8)-1</f>
        <v>1.3304516773617436E-2</v>
      </c>
    </row>
    <row r="10" spans="1:13" x14ac:dyDescent="0.25">
      <c r="A10">
        <v>9</v>
      </c>
      <c r="B10">
        <v>2000</v>
      </c>
      <c r="C10">
        <v>20</v>
      </c>
      <c r="D10">
        <v>20000</v>
      </c>
      <c r="E10" t="s">
        <v>47</v>
      </c>
      <c r="F10" t="s">
        <v>49</v>
      </c>
      <c r="G10" s="8">
        <v>0.5575</v>
      </c>
      <c r="J10">
        <f>(G10/G8)-1</f>
        <v>0.12953332806812079</v>
      </c>
    </row>
    <row r="12" spans="1:13" x14ac:dyDescent="0.25">
      <c r="I12" t="s">
        <v>50</v>
      </c>
      <c r="L12" s="10">
        <v>0.03</v>
      </c>
      <c r="M12" t="s">
        <v>52</v>
      </c>
    </row>
    <row r="13" spans="1:13" x14ac:dyDescent="0.25">
      <c r="I13" t="s">
        <v>51</v>
      </c>
      <c r="L13" s="10">
        <v>0.25</v>
      </c>
      <c r="M13" t="s">
        <v>52</v>
      </c>
    </row>
    <row r="14" spans="1:13" x14ac:dyDescent="0.25">
      <c r="H14" t="s">
        <v>54</v>
      </c>
      <c r="I14" t="s">
        <v>53</v>
      </c>
      <c r="L14" s="10">
        <v>0.46</v>
      </c>
      <c r="M14" t="s">
        <v>57</v>
      </c>
    </row>
    <row r="15" spans="1:13" x14ac:dyDescent="0.25">
      <c r="H15" t="s">
        <v>55</v>
      </c>
      <c r="I15" t="s">
        <v>56</v>
      </c>
      <c r="L15" s="10">
        <v>1.6</v>
      </c>
      <c r="M15" t="s">
        <v>57</v>
      </c>
    </row>
    <row r="17" spans="9:11" x14ac:dyDescent="0.25">
      <c r="I17">
        <v>0.25</v>
      </c>
      <c r="J17" t="s">
        <v>61</v>
      </c>
      <c r="K17" t="s">
        <v>58</v>
      </c>
    </row>
    <row r="18" spans="9:11" x14ac:dyDescent="0.25">
      <c r="I18">
        <f>I17/20</f>
        <v>1.2500000000000001E-2</v>
      </c>
      <c r="J18" t="s">
        <v>61</v>
      </c>
      <c r="K18" t="s">
        <v>59</v>
      </c>
    </row>
    <row r="19" spans="9:11" x14ac:dyDescent="0.25">
      <c r="I19">
        <v>2</v>
      </c>
      <c r="J19" t="s">
        <v>61</v>
      </c>
      <c r="K19" t="s">
        <v>60</v>
      </c>
    </row>
    <row r="20" spans="9:11" x14ac:dyDescent="0.25">
      <c r="I20">
        <f>I19/I17</f>
        <v>8</v>
      </c>
      <c r="J20" t="s">
        <v>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TestTables</vt:lpstr>
      <vt:lpstr>Sheet1</vt:lpstr>
      <vt:lpstr>Sheet2</vt:lpstr>
      <vt:lpstr>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2024-03-28T20:03:47Z</dcterms:created>
  <dcterms:modified xsi:type="dcterms:W3CDTF">2024-03-30T11:13:01Z</dcterms:modified>
</cp:coreProperties>
</file>